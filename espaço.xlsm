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8B03518E-D718-4DB3-86D8-B7D2F0A1F000}" xr6:coauthVersionLast="47" xr6:coauthVersionMax="47" xr10:uidLastSave="{00000000-0000-0000-0000-000000000000}"/>
  <bookViews>
    <workbookView xWindow="-120" yWindow="-120" windowWidth="29040" windowHeight="15840" xr2:uid="{F3318B0D-3128-4696-AAF2-E33B38C8BF77}"/>
  </bookViews>
  <sheets>
    <sheet name="planilhaa de lucros" sheetId="1" r:id="rId1"/>
    <sheet name="quantidade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" i="1" l="1"/>
  <c r="G36" i="1"/>
  <c r="C46" i="1"/>
  <c r="G46" i="1" s="1"/>
  <c r="C45" i="1"/>
  <c r="G45" i="1" s="1"/>
  <c r="C44" i="1"/>
  <c r="G44" i="1" s="1"/>
  <c r="C41" i="1"/>
  <c r="G41" i="1" s="1"/>
  <c r="C40" i="1"/>
  <c r="G40" i="1" s="1"/>
  <c r="C39" i="1"/>
  <c r="G39" i="1" s="1"/>
  <c r="C34" i="1"/>
  <c r="G34" i="1" s="1"/>
  <c r="C36" i="1"/>
  <c r="C35" i="1"/>
  <c r="G35" i="1" s="1"/>
  <c r="C31" i="1"/>
  <c r="G31" i="1" s="1"/>
  <c r="C30" i="1"/>
  <c r="G30" i="1" s="1"/>
  <c r="C27" i="1"/>
  <c r="C26" i="1"/>
  <c r="G26" i="1" s="1"/>
  <c r="C25" i="1"/>
  <c r="G25" i="1" s="1"/>
  <c r="C24" i="1"/>
  <c r="G24" i="1" s="1"/>
  <c r="C23" i="1"/>
  <c r="G23" i="1" s="1"/>
  <c r="C22" i="1"/>
  <c r="G22" i="1" s="1"/>
  <c r="C21" i="1"/>
  <c r="G21" i="1" s="1"/>
  <c r="C13" i="1"/>
  <c r="G13" i="1" s="1"/>
  <c r="C14" i="1"/>
  <c r="G14" i="1" s="1"/>
  <c r="C15" i="1"/>
  <c r="G15" i="1" s="1"/>
  <c r="C16" i="1"/>
  <c r="G16" i="1" s="1"/>
  <c r="C17" i="1"/>
  <c r="G17" i="1" s="1"/>
  <c r="C18" i="1"/>
  <c r="G18" i="1" s="1"/>
  <c r="C12" i="1"/>
  <c r="G12" i="1" s="1"/>
  <c r="C6" i="1"/>
  <c r="G6" i="1" s="1"/>
  <c r="C7" i="1"/>
  <c r="G7" i="1" s="1"/>
  <c r="C8" i="1"/>
  <c r="C9" i="1"/>
  <c r="G9" i="1" s="1"/>
  <c r="G8" i="1"/>
  <c r="G49" i="1" l="1"/>
  <c r="I9" i="1" l="1"/>
  <c r="I10" i="1" s="1"/>
  <c r="J9" i="1" l="1"/>
  <c r="L10" i="1" s="1"/>
  <c r="K10" i="1" l="1"/>
  <c r="J10" i="1"/>
</calcChain>
</file>

<file path=xl/sharedStrings.xml><?xml version="1.0" encoding="utf-8"?>
<sst xmlns="http://schemas.openxmlformats.org/spreadsheetml/2006/main" count="33" uniqueCount="27">
  <si>
    <t>Quantidade feita</t>
  </si>
  <si>
    <t>Trabalhos feitos</t>
  </si>
  <si>
    <t>Valor</t>
  </si>
  <si>
    <t>vinculo quantidade</t>
  </si>
  <si>
    <t>vinculo valor</t>
  </si>
  <si>
    <t>Lucros</t>
  </si>
  <si>
    <t>Morena Iluminada</t>
  </si>
  <si>
    <t>Corte</t>
  </si>
  <si>
    <t>Escova</t>
  </si>
  <si>
    <t>Hidratação</t>
  </si>
  <si>
    <t>Cauterização</t>
  </si>
  <si>
    <t>Coloração só a aplicação</t>
  </si>
  <si>
    <t>Botox</t>
  </si>
  <si>
    <t>mechas e morena iluminada</t>
  </si>
  <si>
    <t>escova</t>
  </si>
  <si>
    <t>coloração salao</t>
  </si>
  <si>
    <t>progressiva</t>
  </si>
  <si>
    <t>botox</t>
  </si>
  <si>
    <t>Total:</t>
  </si>
  <si>
    <t>mechas</t>
  </si>
  <si>
    <t xml:space="preserve">quantidade </t>
  </si>
  <si>
    <t>coloração do salão</t>
  </si>
  <si>
    <t>retorno do Salão</t>
  </si>
  <si>
    <t xml:space="preserve">para repor de materiais </t>
  </si>
  <si>
    <t xml:space="preserve">meu salario </t>
  </si>
  <si>
    <t xml:space="preserve">reserva de emergencia </t>
  </si>
  <si>
    <t xml:space="preserve">investimento para o salão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</si>
</sst>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44" fontId="0" fillId="0" borderId="0" xfId="1" applyFont="1"/>
    <xf numFmtId="0" fontId="0" fillId="3" borderId="0" xfId="0" applyFill="1"/>
    <xf numFmtId="0" fontId="4" fillId="3" borderId="1" xfId="0" applyFont="1" applyFill="1" applyBorder="1"/>
    <xf numFmtId="44" fontId="0" fillId="3" borderId="0" xfId="1" applyFont="1" applyFill="1" applyBorder="1"/>
    <xf numFmtId="0" fontId="0" fillId="3" borderId="1" xfId="0" applyFill="1" applyBorder="1"/>
    <xf numFmtId="44" fontId="0" fillId="3" borderId="1" xfId="1" applyFont="1" applyFill="1" applyBorder="1" applyAlignment="1">
      <alignment horizontal="center" vertical="center"/>
    </xf>
    <xf numFmtId="44" fontId="0" fillId="3" borderId="1" xfId="1" applyFont="1" applyFill="1" applyBorder="1"/>
    <xf numFmtId="44" fontId="0" fillId="3" borderId="0" xfId="0" applyNumberFormat="1" applyFill="1"/>
    <xf numFmtId="44" fontId="0" fillId="3" borderId="0" xfId="1" applyFont="1" applyFill="1" applyBorder="1" applyAlignment="1">
      <alignment horizontal="center" vertical="center"/>
    </xf>
    <xf numFmtId="2" fontId="0" fillId="3" borderId="0" xfId="1" applyNumberFormat="1" applyFont="1" applyFill="1"/>
    <xf numFmtId="9" fontId="0" fillId="3" borderId="0" xfId="0" applyNumberFormat="1" applyFill="1"/>
    <xf numFmtId="44" fontId="4" fillId="3" borderId="0" xfId="0" applyNumberFormat="1" applyFont="1" applyFill="1"/>
    <xf numFmtId="0" fontId="2" fillId="3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44" fontId="0" fillId="3" borderId="1" xfId="0" applyNumberFormat="1" applyFill="1" applyBorder="1"/>
    <xf numFmtId="44" fontId="6" fillId="3" borderId="1" xfId="0" applyNumberFormat="1" applyFont="1" applyFill="1" applyBorder="1"/>
    <xf numFmtId="0" fontId="0" fillId="3" borderId="1" xfId="0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E$7" fmlaRange="quantidade!$A$1:$A$100" noThreeD="1" sel="1" val="0"/>
</file>

<file path=xl/ctrlProps/ctrlProp2.xml><?xml version="1.0" encoding="utf-8"?>
<formControlPr xmlns="http://schemas.microsoft.com/office/spreadsheetml/2009/9/main" objectType="Drop" dropStyle="combo" dx="22" fmlaLink="$E$8" fmlaRange="quantidade!$A$1:$A$100" noThreeD="1" sel="1" val="0"/>
</file>

<file path=xl/ctrlProps/ctrlProp3.xml><?xml version="1.0" encoding="utf-8"?>
<formControlPr xmlns="http://schemas.microsoft.com/office/spreadsheetml/2009/9/main" objectType="Drop" dropStyle="combo" dx="22" fmlaLink="$E$9" fmlaRange="quantidade!$A$1:$A$100" noThreeD="1" sel="1" val="0"/>
</file>

<file path=xl/ctrlProps/ctrlProp4.xml><?xml version="1.0" encoding="utf-8"?>
<formControlPr xmlns="http://schemas.microsoft.com/office/spreadsheetml/2009/9/main" objectType="Drop" dropStyle="combo" dx="22" fmlaLink="$E$6" fmlaRange="quantidade!$A$1:$A$100" noThreeD="1" sel="1" val="0"/>
</file>

<file path=xl/ctrlProps/ctrlProp5.xml><?xml version="1.0" encoding="utf-8"?>
<formControlPr xmlns="http://schemas.microsoft.com/office/spreadsheetml/2009/9/main" objectType="Drop" dropStyle="combo" dx="22" fmlaLink="$E$14" fmlaRange="quantidade!$A$1:$A$100" noThreeD="1" sel="4" val="0"/>
</file>

<file path=xl/ctrlProps/ctrlProp6.xml><?xml version="1.0" encoding="utf-8"?>
<formControlPr xmlns="http://schemas.microsoft.com/office/spreadsheetml/2009/9/main" objectType="Drop" dropStyle="combo" dx="22" fmlaLink="$E$15" fmlaRange="quantidade!$A$1:$A$100" noThreeD="1" sel="1" val="0"/>
</file>

<file path=xl/ctrlProps/ctrlProp7.xml><?xml version="1.0" encoding="utf-8"?>
<formControlPr xmlns="http://schemas.microsoft.com/office/spreadsheetml/2009/9/main" objectType="Drop" dropStyle="combo" dx="22" fmlaLink="$E$16" fmlaRange="quantidade!$A$1:$A$100" noThreeD="1" sel="1" val="0"/>
</file>

<file path=xl/ctrlProps/ctrlProp8.xml><?xml version="1.0" encoding="utf-8"?>
<formControlPr xmlns="http://schemas.microsoft.com/office/spreadsheetml/2009/9/main" objectType="Drop" dropStyle="combo" dx="22" fmlaLink="$E$17" fmlaRange="quantidade!$A$1:$A$100" noThreeD="1" sel="1" val="0"/>
</file>

<file path=xl/ctrlProps/ctrlProp9.xml><?xml version="1.0" encoding="utf-8"?>
<formControlPr xmlns="http://schemas.microsoft.com/office/spreadsheetml/2009/9/main" objectType="Drop" dropStyle="combo" dx="22" fmlaLink="$E$25" fmlaRange="quantidade!$A$1:$A$100" noThreeD="1" sel="1" val="0"/>
</file>

<file path=xl/ctrlProps/ctrlProp10.xml><?xml version="1.0" encoding="utf-8"?>
<formControlPr xmlns="http://schemas.microsoft.com/office/spreadsheetml/2009/9/main" objectType="Drop" dropStyle="combo" dx="22" fmlaLink="$E$26" fmlaRange="quantidade!$A$1:$A$100" noThreeD="1" sel="1" val="0"/>
</file>

<file path=xl/ctrlProps/ctrlProp11.xml><?xml version="1.0" encoding="utf-8"?>
<formControlPr xmlns="http://schemas.microsoft.com/office/spreadsheetml/2009/9/main" objectType="Drop" dropStyle="combo" dx="22" fmlaLink="$E$27" fmlaRange="quantidade!$A$1:$A$100" noThreeD="1" sel="1" val="0"/>
</file>

<file path=xl/ctrlProps/ctrlProp12.xml><?xml version="1.0" encoding="utf-8"?>
<formControlPr xmlns="http://schemas.microsoft.com/office/spreadsheetml/2009/9/main" objectType="Drop" dropStyle="combo" dx="22" fmlaLink="$E$12" fmlaRange="quantidade!$A$1:$A$100" noThreeD="1" sel="1" val="0"/>
</file>

<file path=xl/ctrlProps/ctrlProp13.xml><?xml version="1.0" encoding="utf-8"?>
<formControlPr xmlns="http://schemas.microsoft.com/office/spreadsheetml/2009/9/main" objectType="Drop" dropStyle="combo" dx="22" fmlaLink="$E$13" fmlaRange="quantidade!$A$1:$A$100" noThreeD="1" sel="1" val="0"/>
</file>

<file path=xl/ctrlProps/ctrlProp14.xml><?xml version="1.0" encoding="utf-8"?>
<formControlPr xmlns="http://schemas.microsoft.com/office/spreadsheetml/2009/9/main" objectType="Drop" dropStyle="combo" dx="22" fmlaLink="$E$18" fmlaRange="quantidade!$A$1:$A$100" noThreeD="1" sel="1" val="56"/>
</file>

<file path=xl/ctrlProps/ctrlProp15.xml><?xml version="1.0" encoding="utf-8"?>
<formControlPr xmlns="http://schemas.microsoft.com/office/spreadsheetml/2009/9/main" objectType="Drop" dropStyle="combo" dx="22" fmlaLink="$E$18" fmlaRange="quantidade!$A$1:$A$100" noThreeD="1" sel="1" val="0"/>
</file>

<file path=xl/ctrlProps/ctrlProp16.xml><?xml version="1.0" encoding="utf-8"?>
<formControlPr xmlns="http://schemas.microsoft.com/office/spreadsheetml/2009/9/main" objectType="Drop" dropStyle="combo" dx="22" fmlaLink="$E$31" fmlaRange="quantidade!$A$1:$A$100" noThreeD="1" sel="1" val="0"/>
</file>

<file path=xl/ctrlProps/ctrlProp17.xml><?xml version="1.0" encoding="utf-8"?>
<formControlPr xmlns="http://schemas.microsoft.com/office/spreadsheetml/2009/9/main" objectType="Drop" dropStyle="combo" dx="22" fmlaLink="$E$30" fmlaRange="quantidade!$A$1:$A$100" noThreeD="1" sel="1" val="0"/>
</file>

<file path=xl/ctrlProps/ctrlProp18.xml><?xml version="1.0" encoding="utf-8"?>
<formControlPr xmlns="http://schemas.microsoft.com/office/spreadsheetml/2009/9/main" objectType="Drop" dropStyle="combo" dx="22" fmlaLink="$E$21" fmlaRange="quantidade!$A$1:$A$100" noThreeD="1" sel="1" val="0"/>
</file>

<file path=xl/ctrlProps/ctrlProp19.xml><?xml version="1.0" encoding="utf-8"?>
<formControlPr xmlns="http://schemas.microsoft.com/office/spreadsheetml/2009/9/main" objectType="Drop" dropStyle="combo" dx="22" fmlaLink="$E$22" fmlaRange="quantidade!$A$1:$A$100" noThreeD="1" sel="1" val="0"/>
</file>

<file path=xl/ctrlProps/ctrlProp20.xml><?xml version="1.0" encoding="utf-8"?>
<formControlPr xmlns="http://schemas.microsoft.com/office/spreadsheetml/2009/9/main" objectType="Drop" dropStyle="combo" dx="22" fmlaLink="$E$23" fmlaRange="quantidade!$A$1:$A$100" noThreeD="1" sel="1" val="0"/>
</file>

<file path=xl/ctrlProps/ctrlProp21.xml><?xml version="1.0" encoding="utf-8"?>
<formControlPr xmlns="http://schemas.microsoft.com/office/spreadsheetml/2009/9/main" objectType="Drop" dropStyle="combo" dx="22" fmlaLink="$E$24" fmlaRange="quantidade!$A$1:$A$100" noThreeD="1" sel="1" val="0"/>
</file>

<file path=xl/ctrlProps/ctrlProp22.xml><?xml version="1.0" encoding="utf-8"?>
<formControlPr xmlns="http://schemas.microsoft.com/office/spreadsheetml/2009/9/main" objectType="Drop" dropStyle="combo" dx="22" fmlaLink="$E$12" fmlaRange="quantidade!$A$1:$A$100" noThreeD="1" sel="1" val="0"/>
</file>

<file path=xl/ctrlProps/ctrlProp23.xml><?xml version="1.0" encoding="utf-8"?>
<formControlPr xmlns="http://schemas.microsoft.com/office/spreadsheetml/2009/9/main" objectType="Drop" dropStyle="combo" dx="22" fmlaLink="$E$13" fmlaRange="quantidade!$A$1:$A$100" noThreeD="1" sel="1" val="0"/>
</file>

<file path=xl/ctrlProps/ctrlProp24.xml><?xml version="1.0" encoding="utf-8"?>
<formControlPr xmlns="http://schemas.microsoft.com/office/spreadsheetml/2009/9/main" objectType="Drop" dropStyle="combo" dx="22" fmlaLink="$E$34" fmlaRange="quantidade!$A$1:$A$100" noThreeD="1" sel="1" val="0"/>
</file>

<file path=xl/ctrlProps/ctrlProp25.xml><?xml version="1.0" encoding="utf-8"?>
<formControlPr xmlns="http://schemas.microsoft.com/office/spreadsheetml/2009/9/main" objectType="Drop" dropStyle="combo" dx="22" fmlaLink="$E$35" fmlaRange="quantidade!$A$1:$A$100" noThreeD="1" sel="1" val="0"/>
</file>

<file path=xl/ctrlProps/ctrlProp26.xml><?xml version="1.0" encoding="utf-8"?>
<formControlPr xmlns="http://schemas.microsoft.com/office/spreadsheetml/2009/9/main" objectType="Drop" dropStyle="combo" dx="22" fmlaLink="$E$36" fmlaRange="quantidade!$A$1:$A$100" noThreeD="1" sel="1" val="0"/>
</file>

<file path=xl/ctrlProps/ctrlProp27.xml><?xml version="1.0" encoding="utf-8"?>
<formControlPr xmlns="http://schemas.microsoft.com/office/spreadsheetml/2009/9/main" objectType="Drop" dropStyle="combo" dx="22" fmlaLink="$E$39" fmlaRange="quantidade!$A$1:$A$100" noThreeD="1" sel="1" val="0"/>
</file>

<file path=xl/ctrlProps/ctrlProp28.xml><?xml version="1.0" encoding="utf-8"?>
<formControlPr xmlns="http://schemas.microsoft.com/office/spreadsheetml/2009/9/main" objectType="Drop" dropStyle="combo" dx="22" fmlaLink="$E$40" fmlaRange="quantidade!$A$1:$A$100" noThreeD="1" sel="1" val="0"/>
</file>

<file path=xl/ctrlProps/ctrlProp29.xml><?xml version="1.0" encoding="utf-8"?>
<formControlPr xmlns="http://schemas.microsoft.com/office/spreadsheetml/2009/9/main" objectType="Drop" dropStyle="combo" dx="22" fmlaLink="$E$41" fmlaRange="quantidade!$A$1:$A$100" noThreeD="1" sel="1" val="0"/>
</file>

<file path=xl/ctrlProps/ctrlProp30.xml><?xml version="1.0" encoding="utf-8"?>
<formControlPr xmlns="http://schemas.microsoft.com/office/spreadsheetml/2009/9/main" objectType="Drop" dropStyle="combo" dx="22" fmlaLink="$E$44" fmlaRange="quantidade!$A$1:$A$100" noThreeD="1" sel="1" val="0"/>
</file>

<file path=xl/ctrlProps/ctrlProp31.xml><?xml version="1.0" encoding="utf-8"?>
<formControlPr xmlns="http://schemas.microsoft.com/office/spreadsheetml/2009/9/main" objectType="Drop" dropStyle="combo" dx="22" fmlaLink="$E$45" fmlaRange="quantidade!$A$1:$A$100" noThreeD="1" sel="1" val="0"/>
</file>

<file path=xl/ctrlProps/ctrlProp32.xml><?xml version="1.0" encoding="utf-8"?>
<formControlPr xmlns="http://schemas.microsoft.com/office/spreadsheetml/2009/9/main" objectType="Drop" dropStyle="combo" dx="22" fmlaLink="$E$46" fmlaRange="quantidade!$A$1:$A$100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19050</xdr:rowOff>
        </xdr:to>
        <xdr:sp macro="" textlink="">
          <xdr:nvSpPr>
            <xdr:cNvPr id="1208" name="Drop Dow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3</xdr:col>
          <xdr:colOff>9525</xdr:colOff>
          <xdr:row>8</xdr:row>
          <xdr:rowOff>19050</xdr:rowOff>
        </xdr:to>
        <xdr:sp macro="" textlink="">
          <xdr:nvSpPr>
            <xdr:cNvPr id="1209" name="Drop Dow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3</xdr:col>
          <xdr:colOff>9525</xdr:colOff>
          <xdr:row>9</xdr:row>
          <xdr:rowOff>28575</xdr:rowOff>
        </xdr:to>
        <xdr:sp macro="" textlink="">
          <xdr:nvSpPr>
            <xdr:cNvPr id="1210" name="Drop Dow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1638300</xdr:colOff>
          <xdr:row>5</xdr:row>
          <xdr:rowOff>9525</xdr:rowOff>
        </xdr:from>
        <xdr:to>
          <xdr:col>2</xdr:col>
          <xdr:colOff>1857375</xdr:colOff>
          <xdr:row>6</xdr:row>
          <xdr:rowOff>19050</xdr:rowOff>
        </xdr:to>
        <xdr:sp macro="" textlink="">
          <xdr:nvSpPr>
            <xdr:cNvPr id="1302" name="Drop Dow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247650</xdr:rowOff>
        </xdr:from>
        <xdr:to>
          <xdr:col>3</xdr:col>
          <xdr:colOff>9525</xdr:colOff>
          <xdr:row>12</xdr:row>
          <xdr:rowOff>9525</xdr:rowOff>
        </xdr:to>
        <xdr:sp macro="" textlink="">
          <xdr:nvSpPr>
            <xdr:cNvPr id="1310" name="Drop Dow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247650</xdr:rowOff>
        </xdr:from>
        <xdr:to>
          <xdr:col>3</xdr:col>
          <xdr:colOff>9525</xdr:colOff>
          <xdr:row>13</xdr:row>
          <xdr:rowOff>9525</xdr:rowOff>
        </xdr:to>
        <xdr:sp macro="" textlink="">
          <xdr:nvSpPr>
            <xdr:cNvPr id="1311" name="Drop Dow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0</xdr:rowOff>
        </xdr:from>
        <xdr:to>
          <xdr:col>2</xdr:col>
          <xdr:colOff>1847850</xdr:colOff>
          <xdr:row>14</xdr:row>
          <xdr:rowOff>9525</xdr:rowOff>
        </xdr:to>
        <xdr:sp macro="" textlink="">
          <xdr:nvSpPr>
            <xdr:cNvPr id="1312" name="Drop Dow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238125</xdr:rowOff>
        </xdr:from>
        <xdr:to>
          <xdr:col>2</xdr:col>
          <xdr:colOff>1847850</xdr:colOff>
          <xdr:row>14</xdr:row>
          <xdr:rowOff>247650</xdr:rowOff>
        </xdr:to>
        <xdr:sp macro="" textlink="">
          <xdr:nvSpPr>
            <xdr:cNvPr id="1313" name="Drop Dow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238125</xdr:rowOff>
        </xdr:from>
        <xdr:to>
          <xdr:col>2</xdr:col>
          <xdr:colOff>1857375</xdr:colOff>
          <xdr:row>16</xdr:row>
          <xdr:rowOff>0</xdr:rowOff>
        </xdr:to>
        <xdr:sp macro="" textlink="">
          <xdr:nvSpPr>
            <xdr:cNvPr id="1314" name="Drop Dow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247650</xdr:rowOff>
        </xdr:from>
        <xdr:to>
          <xdr:col>2</xdr:col>
          <xdr:colOff>1847850</xdr:colOff>
          <xdr:row>16</xdr:row>
          <xdr:rowOff>247650</xdr:rowOff>
        </xdr:to>
        <xdr:sp macro="" textlink="">
          <xdr:nvSpPr>
            <xdr:cNvPr id="1315" name="Drop Dow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1638300</xdr:colOff>
          <xdr:row>16</xdr:row>
          <xdr:rowOff>238125</xdr:rowOff>
        </xdr:from>
        <xdr:to>
          <xdr:col>3</xdr:col>
          <xdr:colOff>9525</xdr:colOff>
          <xdr:row>17</xdr:row>
          <xdr:rowOff>247650</xdr:rowOff>
        </xdr:to>
        <xdr:sp macro="" textlink="">
          <xdr:nvSpPr>
            <xdr:cNvPr id="1316" name="Drop Dow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9525</xdr:colOff>
          <xdr:row>21</xdr:row>
          <xdr:rowOff>19050</xdr:rowOff>
        </xdr:to>
        <xdr:sp macro="" textlink="">
          <xdr:nvSpPr>
            <xdr:cNvPr id="1317" name="Drop Dow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247650</xdr:rowOff>
        </xdr:from>
        <xdr:to>
          <xdr:col>3</xdr:col>
          <xdr:colOff>9525</xdr:colOff>
          <xdr:row>22</xdr:row>
          <xdr:rowOff>9525</xdr:rowOff>
        </xdr:to>
        <xdr:sp macro="" textlink="">
          <xdr:nvSpPr>
            <xdr:cNvPr id="1318" name="Drop Dow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0</xdr:rowOff>
        </xdr:from>
        <xdr:to>
          <xdr:col>2</xdr:col>
          <xdr:colOff>1847850</xdr:colOff>
          <xdr:row>23</xdr:row>
          <xdr:rowOff>9525</xdr:rowOff>
        </xdr:to>
        <xdr:sp macro="" textlink="">
          <xdr:nvSpPr>
            <xdr:cNvPr id="1319" name="Drop Dow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238125</xdr:rowOff>
        </xdr:from>
        <xdr:to>
          <xdr:col>2</xdr:col>
          <xdr:colOff>1847850</xdr:colOff>
          <xdr:row>23</xdr:row>
          <xdr:rowOff>247650</xdr:rowOff>
        </xdr:to>
        <xdr:sp macro="" textlink="">
          <xdr:nvSpPr>
            <xdr:cNvPr id="1320" name="Drop Dow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238125</xdr:rowOff>
        </xdr:from>
        <xdr:to>
          <xdr:col>2</xdr:col>
          <xdr:colOff>1857375</xdr:colOff>
          <xdr:row>25</xdr:row>
          <xdr:rowOff>0</xdr:rowOff>
        </xdr:to>
        <xdr:sp macro="" textlink="">
          <xdr:nvSpPr>
            <xdr:cNvPr id="1321" name="Drop Dow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247650</xdr:rowOff>
        </xdr:from>
        <xdr:to>
          <xdr:col>2</xdr:col>
          <xdr:colOff>1847850</xdr:colOff>
          <xdr:row>25</xdr:row>
          <xdr:rowOff>247650</xdr:rowOff>
        </xdr:to>
        <xdr:sp macro="" textlink="">
          <xdr:nvSpPr>
            <xdr:cNvPr id="1322" name="Drop Dow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1638300</xdr:colOff>
          <xdr:row>25</xdr:row>
          <xdr:rowOff>238125</xdr:rowOff>
        </xdr:from>
        <xdr:to>
          <xdr:col>3</xdr:col>
          <xdr:colOff>9525</xdr:colOff>
          <xdr:row>26</xdr:row>
          <xdr:rowOff>247650</xdr:rowOff>
        </xdr:to>
        <xdr:sp macro="" textlink="">
          <xdr:nvSpPr>
            <xdr:cNvPr id="1323" name="Drop Dow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247650</xdr:rowOff>
        </xdr:from>
        <xdr:to>
          <xdr:col>3</xdr:col>
          <xdr:colOff>9525</xdr:colOff>
          <xdr:row>21</xdr:row>
          <xdr:rowOff>9525</xdr:rowOff>
        </xdr:to>
        <xdr:sp macro="" textlink="">
          <xdr:nvSpPr>
            <xdr:cNvPr id="1325" name="Drop Dow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247650</xdr:rowOff>
        </xdr:from>
        <xdr:to>
          <xdr:col>3</xdr:col>
          <xdr:colOff>9525</xdr:colOff>
          <xdr:row>22</xdr:row>
          <xdr:rowOff>9525</xdr:rowOff>
        </xdr:to>
        <xdr:sp macro="" textlink="">
          <xdr:nvSpPr>
            <xdr:cNvPr id="1326" name="Drop Dow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1638300</xdr:colOff>
          <xdr:row>25</xdr:row>
          <xdr:rowOff>238125</xdr:rowOff>
        </xdr:from>
        <xdr:to>
          <xdr:col>3</xdr:col>
          <xdr:colOff>9525</xdr:colOff>
          <xdr:row>26</xdr:row>
          <xdr:rowOff>247650</xdr:rowOff>
        </xdr:to>
        <xdr:sp macro="" textlink="">
          <xdr:nvSpPr>
            <xdr:cNvPr id="1327" name="Drop Dow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0</xdr:rowOff>
        </xdr:from>
        <xdr:to>
          <xdr:col>3</xdr:col>
          <xdr:colOff>9525</xdr:colOff>
          <xdr:row>31</xdr:row>
          <xdr:rowOff>0</xdr:rowOff>
        </xdr:to>
        <xdr:sp macro="" textlink="">
          <xdr:nvSpPr>
            <xdr:cNvPr id="1329" name="Drop Dow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247650</xdr:rowOff>
        </xdr:from>
        <xdr:to>
          <xdr:col>3</xdr:col>
          <xdr:colOff>9525</xdr:colOff>
          <xdr:row>30</xdr:row>
          <xdr:rowOff>0</xdr:rowOff>
        </xdr:to>
        <xdr:sp macro="" textlink="">
          <xdr:nvSpPr>
            <xdr:cNvPr id="1330" name="Drop Dow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33</xdr:row>
          <xdr:rowOff>0</xdr:rowOff>
        </xdr:from>
        <xdr:to>
          <xdr:col>3</xdr:col>
          <xdr:colOff>9525</xdr:colOff>
          <xdr:row>34</xdr:row>
          <xdr:rowOff>9525</xdr:rowOff>
        </xdr:to>
        <xdr:sp macro="" textlink="">
          <xdr:nvSpPr>
            <xdr:cNvPr id="1338" name="Drop Dow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33</xdr:row>
          <xdr:rowOff>190500</xdr:rowOff>
        </xdr:from>
        <xdr:to>
          <xdr:col>3</xdr:col>
          <xdr:colOff>9525</xdr:colOff>
          <xdr:row>35</xdr:row>
          <xdr:rowOff>9525</xdr:rowOff>
        </xdr:to>
        <xdr:sp macro="" textlink="">
          <xdr:nvSpPr>
            <xdr:cNvPr id="1339" name="Drop Dow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35</xdr:row>
          <xdr:rowOff>9525</xdr:rowOff>
        </xdr:from>
        <xdr:to>
          <xdr:col>3</xdr:col>
          <xdr:colOff>9525</xdr:colOff>
          <xdr:row>36</xdr:row>
          <xdr:rowOff>19050</xdr:rowOff>
        </xdr:to>
        <xdr:sp macro="" textlink="">
          <xdr:nvSpPr>
            <xdr:cNvPr id="1340" name="Drop Dow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38</xdr:row>
          <xdr:rowOff>0</xdr:rowOff>
        </xdr:from>
        <xdr:to>
          <xdr:col>3</xdr:col>
          <xdr:colOff>9525</xdr:colOff>
          <xdr:row>39</xdr:row>
          <xdr:rowOff>9525</xdr:rowOff>
        </xdr:to>
        <xdr:sp macro="" textlink="">
          <xdr:nvSpPr>
            <xdr:cNvPr id="1341" name="Drop Dow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38</xdr:row>
          <xdr:rowOff>190500</xdr:rowOff>
        </xdr:from>
        <xdr:to>
          <xdr:col>3</xdr:col>
          <xdr:colOff>9525</xdr:colOff>
          <xdr:row>40</xdr:row>
          <xdr:rowOff>9525</xdr:rowOff>
        </xdr:to>
        <xdr:sp macro="" textlink="">
          <xdr:nvSpPr>
            <xdr:cNvPr id="1342" name="Drop Dow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40</xdr:row>
          <xdr:rowOff>9525</xdr:rowOff>
        </xdr:from>
        <xdr:to>
          <xdr:col>3</xdr:col>
          <xdr:colOff>9525</xdr:colOff>
          <xdr:row>41</xdr:row>
          <xdr:rowOff>19050</xdr:rowOff>
        </xdr:to>
        <xdr:sp macro="" textlink="">
          <xdr:nvSpPr>
            <xdr:cNvPr id="1343" name="Drop Dow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43</xdr:row>
          <xdr:rowOff>0</xdr:rowOff>
        </xdr:from>
        <xdr:to>
          <xdr:col>3</xdr:col>
          <xdr:colOff>9525</xdr:colOff>
          <xdr:row>44</xdr:row>
          <xdr:rowOff>9525</xdr:rowOff>
        </xdr:to>
        <xdr:sp macro="" textlink="">
          <xdr:nvSpPr>
            <xdr:cNvPr id="1344" name="Drop Dow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43</xdr:row>
          <xdr:rowOff>190500</xdr:rowOff>
        </xdr:from>
        <xdr:to>
          <xdr:col>3</xdr:col>
          <xdr:colOff>9525</xdr:colOff>
          <xdr:row>45</xdr:row>
          <xdr:rowOff>9525</xdr:rowOff>
        </xdr:to>
        <xdr:sp macro="" textlink="">
          <xdr:nvSpPr>
            <xdr:cNvPr id="1345" name="Drop Dow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45</xdr:row>
          <xdr:rowOff>9525</xdr:rowOff>
        </xdr:from>
        <xdr:to>
          <xdr:col>3</xdr:col>
          <xdr:colOff>9525</xdr:colOff>
          <xdr:row>46</xdr:row>
          <xdr:rowOff>19050</xdr:rowOff>
        </xdr:to>
        <xdr:sp macro="" textlink="">
          <xdr:nvSpPr>
            <xdr:cNvPr id="1346" name="Drop Dow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0</xdr:colOff>
      <xdr:row>9</xdr:row>
      <xdr:rowOff>238125</xdr:rowOff>
    </xdr:from>
    <xdr:to>
      <xdr:col>10</xdr:col>
      <xdr:colOff>1076325</xdr:colOff>
      <xdr:row>26</xdr:row>
      <xdr:rowOff>152400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7475" y="2419350"/>
          <a:ext cx="5286375" cy="4286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8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E150-8E99-4C1C-9BDB-347C5F84BC66}">
  <sheetPr codeName="Planilha1"/>
  <dimension ref="A1:M53"/>
  <sheetViews>
    <sheetView tabSelected="1" zoomScale="70" zoomScaleNormal="70" workbookViewId="0">
      <selection activeCell="L7" sqref="L7"/>
    </sheetView>
  </sheetViews>
  <sheetFormatPr defaultRowHeight="15" x14ac:dyDescent="0.25"/>
  <cols>
    <col min="2" max="2" width="24.5703125" bestFit="1" customWidth="1"/>
    <col min="3" max="3" width="27.85546875" customWidth="1"/>
    <col min="4" max="4" width="14.5703125" customWidth="1"/>
    <col min="5" max="5" width="15" hidden="1" customWidth="1"/>
    <col min="6" max="6" width="14" hidden="1" customWidth="1"/>
    <col min="7" max="7" width="20.85546875" customWidth="1"/>
    <col min="9" max="9" width="28.28515625" bestFit="1" customWidth="1"/>
    <col min="10" max="10" width="25.7109375" bestFit="1" customWidth="1"/>
    <col min="11" max="12" width="26.140625" bestFit="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24.7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5">
      <c r="A3" s="1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1"/>
    </row>
    <row r="4" spans="1:13" ht="31.5" x14ac:dyDescent="0.35">
      <c r="A4" s="1"/>
      <c r="B4" s="4" t="s">
        <v>1</v>
      </c>
      <c r="C4" s="4" t="s">
        <v>0</v>
      </c>
      <c r="D4" s="4" t="s">
        <v>2</v>
      </c>
      <c r="E4" s="3"/>
      <c r="F4" s="3"/>
      <c r="G4" s="4" t="s">
        <v>5</v>
      </c>
      <c r="H4" s="3"/>
      <c r="I4" s="22" t="s">
        <v>22</v>
      </c>
      <c r="J4" s="22"/>
      <c r="K4" s="22"/>
      <c r="L4" s="22"/>
      <c r="M4" s="1"/>
    </row>
    <row r="5" spans="1:13" x14ac:dyDescent="0.25">
      <c r="A5" s="1"/>
      <c r="B5" s="3"/>
      <c r="C5" s="3"/>
      <c r="D5" s="5"/>
      <c r="E5" s="6" t="s">
        <v>3</v>
      </c>
      <c r="F5" s="3" t="s">
        <v>4</v>
      </c>
      <c r="G5" s="3"/>
      <c r="H5" s="3"/>
      <c r="I5" s="3"/>
      <c r="J5" s="3"/>
      <c r="K5" s="3"/>
      <c r="L5" s="3"/>
      <c r="M5" s="1"/>
    </row>
    <row r="6" spans="1:13" ht="20.25" customHeight="1" x14ac:dyDescent="0.25">
      <c r="A6" s="1"/>
      <c r="B6" s="14" t="s">
        <v>7</v>
      </c>
      <c r="C6" s="6">
        <f>INDEX(quantidade!$A$1:$A$100,'planilhaa de lucros'!E6)</f>
        <v>0</v>
      </c>
      <c r="D6" s="7">
        <v>40</v>
      </c>
      <c r="E6" s="6">
        <v>1</v>
      </c>
      <c r="F6" s="6"/>
      <c r="G6" s="8">
        <f t="shared" ref="G6:G8" si="0">C6*D6</f>
        <v>0</v>
      </c>
      <c r="H6" s="3"/>
      <c r="I6" s="16" t="s">
        <v>26</v>
      </c>
      <c r="J6" s="16" t="s">
        <v>25</v>
      </c>
      <c r="K6" s="16" t="s">
        <v>23</v>
      </c>
      <c r="L6" s="16" t="s">
        <v>24</v>
      </c>
      <c r="M6" s="1"/>
    </row>
    <row r="7" spans="1:13" ht="20.25" customHeight="1" x14ac:dyDescent="0.25">
      <c r="A7" s="1"/>
      <c r="B7" s="14" t="s">
        <v>9</v>
      </c>
      <c r="C7" s="6">
        <f>INDEX(quantidade!$A$1:$A$100,'planilhaa de lucros'!E7)</f>
        <v>0</v>
      </c>
      <c r="D7" s="7">
        <v>80</v>
      </c>
      <c r="E7" s="6">
        <v>1</v>
      </c>
      <c r="F7" s="6"/>
      <c r="G7" s="8">
        <f t="shared" si="0"/>
        <v>0</v>
      </c>
      <c r="H7" s="3"/>
      <c r="I7" s="17">
        <v>0.25</v>
      </c>
      <c r="J7" s="17">
        <v>0.2</v>
      </c>
      <c r="K7" s="17">
        <v>0.4</v>
      </c>
      <c r="L7" s="17"/>
      <c r="M7" s="1"/>
    </row>
    <row r="8" spans="1:13" ht="20.25" customHeight="1" x14ac:dyDescent="0.25">
      <c r="A8" s="1"/>
      <c r="B8" s="14" t="s">
        <v>10</v>
      </c>
      <c r="C8" s="6">
        <f>INDEX(quantidade!$A$1:$A$100,'planilhaa de lucros'!E8)</f>
        <v>0</v>
      </c>
      <c r="D8" s="7">
        <v>90</v>
      </c>
      <c r="E8" s="6">
        <v>1</v>
      </c>
      <c r="F8" s="6"/>
      <c r="G8" s="8">
        <f t="shared" si="0"/>
        <v>0</v>
      </c>
      <c r="H8" s="3"/>
      <c r="I8" s="3"/>
      <c r="J8" s="3"/>
      <c r="K8" s="3"/>
      <c r="L8" s="3"/>
      <c r="M8" s="1"/>
    </row>
    <row r="9" spans="1:13" ht="20.25" customHeight="1" x14ac:dyDescent="0.25">
      <c r="A9" s="1"/>
      <c r="B9" s="14" t="s">
        <v>11</v>
      </c>
      <c r="C9" s="6">
        <f>INDEX(quantidade!$A$1:$A$100,'planilhaa de lucros'!E9)</f>
        <v>0</v>
      </c>
      <c r="D9" s="7">
        <v>60</v>
      </c>
      <c r="E9" s="6">
        <v>1</v>
      </c>
      <c r="F9" s="6"/>
      <c r="G9" s="8">
        <f>C9*D9</f>
        <v>0</v>
      </c>
      <c r="H9" s="3"/>
      <c r="I9" s="18">
        <f>G49*(1-I7)</f>
        <v>675</v>
      </c>
      <c r="J9" s="18">
        <f>I9*(1-J7)</f>
        <v>540</v>
      </c>
      <c r="K9" s="18"/>
      <c r="L9" s="18"/>
      <c r="M9" s="1"/>
    </row>
    <row r="10" spans="1:13" ht="20.25" customHeight="1" x14ac:dyDescent="0.35">
      <c r="A10" s="1"/>
      <c r="B10" s="15"/>
      <c r="C10" s="3"/>
      <c r="D10" s="10"/>
      <c r="E10" s="3"/>
      <c r="F10" s="3"/>
      <c r="G10" s="5"/>
      <c r="H10" s="3"/>
      <c r="I10" s="19">
        <f>G49-I9</f>
        <v>225</v>
      </c>
      <c r="J10" s="19">
        <f>I9-J9</f>
        <v>135</v>
      </c>
      <c r="K10" s="19">
        <f>J9-L10</f>
        <v>216</v>
      </c>
      <c r="L10" s="19">
        <f>J9*(1-K7)</f>
        <v>324</v>
      </c>
      <c r="M10" s="1"/>
    </row>
    <row r="11" spans="1:13" ht="20.25" customHeight="1" x14ac:dyDescent="0.25">
      <c r="A11" s="1"/>
      <c r="B11" s="3"/>
      <c r="C11" s="6" t="s">
        <v>20</v>
      </c>
      <c r="D11" s="10"/>
      <c r="E11" s="3"/>
      <c r="F11" s="3"/>
      <c r="G11" s="5"/>
      <c r="H11" s="3"/>
      <c r="I11" s="3"/>
      <c r="J11" s="3"/>
      <c r="K11" s="3"/>
      <c r="L11" s="3"/>
      <c r="M11" s="1"/>
    </row>
    <row r="12" spans="1:13" ht="20.25" customHeight="1" x14ac:dyDescent="0.25">
      <c r="A12" s="1"/>
      <c r="B12" s="23" t="s">
        <v>19</v>
      </c>
      <c r="C12" s="6">
        <f>INDEX(quantidade!$A$1:$A$100,'planilhaa de lucros'!E12)</f>
        <v>0</v>
      </c>
      <c r="D12" s="8">
        <v>200</v>
      </c>
      <c r="E12" s="3">
        <v>1</v>
      </c>
      <c r="F12" s="3"/>
      <c r="G12" s="8">
        <f>C12*D12</f>
        <v>0</v>
      </c>
      <c r="H12" s="3"/>
      <c r="I12" s="3"/>
      <c r="J12" s="3"/>
      <c r="K12" s="3"/>
      <c r="L12" s="3"/>
      <c r="M12" s="1"/>
    </row>
    <row r="13" spans="1:13" ht="20.25" customHeight="1" x14ac:dyDescent="0.25">
      <c r="A13" s="1"/>
      <c r="B13" s="24"/>
      <c r="C13" s="6">
        <f>INDEX(quantidade!$A$1:$A$100,'planilhaa de lucros'!E13)</f>
        <v>0</v>
      </c>
      <c r="D13" s="8">
        <v>250</v>
      </c>
      <c r="E13" s="3">
        <v>1</v>
      </c>
      <c r="F13" s="3"/>
      <c r="G13" s="8">
        <f t="shared" ref="G13:G17" si="1">C13*D13</f>
        <v>0</v>
      </c>
      <c r="H13" s="3"/>
      <c r="I13" s="3"/>
      <c r="J13" s="3"/>
      <c r="K13" s="3"/>
      <c r="L13" s="3"/>
      <c r="M13" s="1"/>
    </row>
    <row r="14" spans="1:13" ht="20.25" customHeight="1" x14ac:dyDescent="0.25">
      <c r="A14" s="1"/>
      <c r="B14" s="24"/>
      <c r="C14" s="6">
        <f>INDEX(quantidade!$A$1:$A$100,'planilhaa de lucros'!E14)</f>
        <v>3</v>
      </c>
      <c r="D14" s="8">
        <v>300</v>
      </c>
      <c r="E14" s="3">
        <v>4</v>
      </c>
      <c r="F14" s="3"/>
      <c r="G14" s="8">
        <f t="shared" si="1"/>
        <v>900</v>
      </c>
      <c r="H14" s="3"/>
      <c r="I14" s="3"/>
      <c r="J14" s="3"/>
      <c r="K14" s="3"/>
      <c r="L14" s="3"/>
      <c r="M14" s="1"/>
    </row>
    <row r="15" spans="1:13" ht="20.25" customHeight="1" x14ac:dyDescent="0.25">
      <c r="A15" s="1"/>
      <c r="B15" s="24"/>
      <c r="C15" s="6">
        <f>INDEX(quantidade!$A$1:$A$100,'planilhaa de lucros'!E15)</f>
        <v>0</v>
      </c>
      <c r="D15" s="8">
        <v>350</v>
      </c>
      <c r="E15" s="3">
        <v>1</v>
      </c>
      <c r="F15" s="3"/>
      <c r="G15" s="8">
        <f t="shared" si="1"/>
        <v>0</v>
      </c>
      <c r="H15" s="3"/>
      <c r="I15" s="3"/>
      <c r="J15" s="3"/>
      <c r="K15" s="3"/>
      <c r="L15" s="3"/>
      <c r="M15" s="1"/>
    </row>
    <row r="16" spans="1:13" ht="20.25" customHeight="1" x14ac:dyDescent="0.25">
      <c r="A16" s="1"/>
      <c r="B16" s="24"/>
      <c r="C16" s="6">
        <f>INDEX(quantidade!$A$1:$A$100,'planilhaa de lucros'!E16)</f>
        <v>0</v>
      </c>
      <c r="D16" s="8">
        <v>400</v>
      </c>
      <c r="E16" s="3">
        <v>1</v>
      </c>
      <c r="F16" s="3"/>
      <c r="G16" s="8">
        <f t="shared" si="1"/>
        <v>0</v>
      </c>
      <c r="H16" s="3"/>
      <c r="I16" s="3"/>
      <c r="J16" s="3"/>
      <c r="K16" s="3"/>
      <c r="L16" s="3"/>
      <c r="M16" s="1"/>
    </row>
    <row r="17" spans="1:13" ht="20.25" customHeight="1" x14ac:dyDescent="0.25">
      <c r="A17" s="1"/>
      <c r="B17" s="24"/>
      <c r="C17" s="6">
        <f>INDEX(quantidade!$A$1:$A$100,'planilhaa de lucros'!E17)</f>
        <v>0</v>
      </c>
      <c r="D17" s="8">
        <v>450</v>
      </c>
      <c r="E17" s="3">
        <v>1</v>
      </c>
      <c r="F17" s="3"/>
      <c r="G17" s="8">
        <f t="shared" si="1"/>
        <v>0</v>
      </c>
      <c r="H17" s="3"/>
      <c r="I17" s="3"/>
      <c r="J17" s="3"/>
      <c r="K17" s="3"/>
      <c r="L17" s="3"/>
      <c r="M17" s="1"/>
    </row>
    <row r="18" spans="1:13" ht="20.25" customHeight="1" x14ac:dyDescent="0.25">
      <c r="A18" s="1"/>
      <c r="B18" s="25"/>
      <c r="C18" s="6">
        <f>INDEX(quantidade!$A$1:$A$100,'planilhaa de lucros'!E18)</f>
        <v>0</v>
      </c>
      <c r="D18" s="8">
        <v>500</v>
      </c>
      <c r="E18" s="3">
        <v>1</v>
      </c>
      <c r="F18" s="3"/>
      <c r="G18" s="8">
        <f>C18*D18</f>
        <v>0</v>
      </c>
      <c r="H18" s="3"/>
      <c r="I18" s="3"/>
      <c r="J18" s="3"/>
      <c r="K18" s="3"/>
      <c r="L18" s="3"/>
      <c r="M18" s="1"/>
    </row>
    <row r="19" spans="1:13" ht="20.25" customHeight="1" x14ac:dyDescent="0.25">
      <c r="A19" s="1"/>
      <c r="B19" s="3"/>
      <c r="C19" s="3"/>
      <c r="D19" s="3"/>
      <c r="E19" s="3"/>
      <c r="F19" s="3"/>
      <c r="G19" s="5"/>
      <c r="H19" s="3"/>
      <c r="I19" s="3"/>
      <c r="J19" s="3"/>
      <c r="K19" s="3"/>
      <c r="L19" s="3"/>
      <c r="M19" s="1"/>
    </row>
    <row r="20" spans="1:13" ht="20.25" customHeight="1" x14ac:dyDescent="0.25">
      <c r="A20" s="1"/>
      <c r="B20" s="3"/>
      <c r="C20" s="6" t="s">
        <v>20</v>
      </c>
      <c r="D20" s="3"/>
      <c r="E20" s="3"/>
      <c r="F20" s="3"/>
      <c r="G20" s="5"/>
      <c r="H20" s="3"/>
      <c r="I20" s="3"/>
      <c r="J20" s="3"/>
      <c r="K20" s="3"/>
      <c r="L20" s="3"/>
      <c r="M20" s="1"/>
    </row>
    <row r="21" spans="1:13" ht="20.25" customHeight="1" x14ac:dyDescent="0.25">
      <c r="A21" s="1"/>
      <c r="B21" s="20" t="s">
        <v>6</v>
      </c>
      <c r="C21" s="6">
        <f>INDEX(quantidade!$A$1:$A$100,'planilhaa de lucros'!E21)</f>
        <v>0</v>
      </c>
      <c r="D21" s="8">
        <v>200</v>
      </c>
      <c r="E21" s="3">
        <v>1</v>
      </c>
      <c r="F21" s="3"/>
      <c r="G21" s="8">
        <f t="shared" ref="G21:G46" si="2">C21*D21</f>
        <v>0</v>
      </c>
      <c r="H21" s="3"/>
      <c r="I21" s="3"/>
      <c r="J21" s="3"/>
      <c r="K21" s="3"/>
      <c r="L21" s="3"/>
      <c r="M21" s="1"/>
    </row>
    <row r="22" spans="1:13" ht="20.25" customHeight="1" x14ac:dyDescent="0.25">
      <c r="A22" s="1"/>
      <c r="B22" s="20"/>
      <c r="C22" s="6">
        <f>INDEX(quantidade!$A$1:$A$100,'planilhaa de lucros'!E22)</f>
        <v>0</v>
      </c>
      <c r="D22" s="8">
        <v>250</v>
      </c>
      <c r="E22" s="3">
        <v>1</v>
      </c>
      <c r="F22" s="3"/>
      <c r="G22" s="8">
        <f t="shared" si="2"/>
        <v>0</v>
      </c>
      <c r="H22" s="3"/>
      <c r="I22" s="3"/>
      <c r="J22" s="3"/>
      <c r="K22" s="3"/>
      <c r="L22" s="3"/>
      <c r="M22" s="1"/>
    </row>
    <row r="23" spans="1:13" ht="20.25" customHeight="1" x14ac:dyDescent="0.25">
      <c r="A23" s="1"/>
      <c r="B23" s="20"/>
      <c r="C23" s="6">
        <f>INDEX(quantidade!$A$1:$A$100,'planilhaa de lucros'!E23)</f>
        <v>0</v>
      </c>
      <c r="D23" s="8">
        <v>300</v>
      </c>
      <c r="E23" s="3">
        <v>1</v>
      </c>
      <c r="F23" s="3"/>
      <c r="G23" s="8">
        <f t="shared" si="2"/>
        <v>0</v>
      </c>
      <c r="H23" s="3"/>
      <c r="I23" s="3"/>
      <c r="J23" s="3"/>
      <c r="K23" s="3"/>
      <c r="L23" s="3"/>
      <c r="M23" s="1"/>
    </row>
    <row r="24" spans="1:13" ht="20.25" customHeight="1" x14ac:dyDescent="0.25">
      <c r="A24" s="1"/>
      <c r="B24" s="20"/>
      <c r="C24" s="6">
        <f>INDEX(quantidade!$A$1:$A$100,'planilhaa de lucros'!E24)</f>
        <v>0</v>
      </c>
      <c r="D24" s="8">
        <v>350</v>
      </c>
      <c r="E24" s="3">
        <v>1</v>
      </c>
      <c r="F24" s="3"/>
      <c r="G24" s="8">
        <f t="shared" si="2"/>
        <v>0</v>
      </c>
      <c r="H24" s="3"/>
      <c r="I24" s="3"/>
      <c r="J24" s="3"/>
      <c r="K24" s="3"/>
      <c r="L24" s="3"/>
      <c r="M24" s="1"/>
    </row>
    <row r="25" spans="1:13" ht="20.25" customHeight="1" x14ac:dyDescent="0.25">
      <c r="A25" s="1"/>
      <c r="B25" s="20"/>
      <c r="C25" s="6">
        <f>INDEX(quantidade!$A$1:$A$100,'planilhaa de lucros'!E25)</f>
        <v>0</v>
      </c>
      <c r="D25" s="8">
        <v>400</v>
      </c>
      <c r="E25" s="3">
        <v>1</v>
      </c>
      <c r="F25" s="3"/>
      <c r="G25" s="8">
        <f t="shared" si="2"/>
        <v>0</v>
      </c>
      <c r="H25" s="3"/>
      <c r="I25" s="3"/>
      <c r="J25" s="3"/>
      <c r="K25" s="3"/>
      <c r="L25" s="3"/>
      <c r="M25" s="1"/>
    </row>
    <row r="26" spans="1:13" ht="20.25" customHeight="1" x14ac:dyDescent="0.25">
      <c r="A26" s="1"/>
      <c r="B26" s="20"/>
      <c r="C26" s="6">
        <f>INDEX(quantidade!$A$1:$A$100,'planilhaa de lucros'!E26)</f>
        <v>0</v>
      </c>
      <c r="D26" s="8">
        <v>450</v>
      </c>
      <c r="E26" s="3">
        <v>1</v>
      </c>
      <c r="F26" s="3"/>
      <c r="G26" s="8">
        <f t="shared" si="2"/>
        <v>0</v>
      </c>
      <c r="H26" s="3"/>
      <c r="I26" s="3"/>
      <c r="J26" s="3"/>
      <c r="K26" s="3"/>
      <c r="L26" s="3"/>
      <c r="M26" s="1"/>
    </row>
    <row r="27" spans="1:13" ht="20.25" customHeight="1" x14ac:dyDescent="0.25">
      <c r="A27" s="1"/>
      <c r="B27" s="20"/>
      <c r="C27" s="6">
        <f>INDEX(quantidade!$A$1:$A$100,'planilhaa de lucros'!E27)</f>
        <v>0</v>
      </c>
      <c r="D27" s="8">
        <v>500</v>
      </c>
      <c r="E27" s="3">
        <v>1</v>
      </c>
      <c r="F27" s="3"/>
      <c r="G27" s="8">
        <f t="shared" si="2"/>
        <v>0</v>
      </c>
      <c r="H27" s="3"/>
      <c r="I27" s="3"/>
      <c r="J27" s="3"/>
      <c r="K27" s="3"/>
      <c r="L27" s="3"/>
      <c r="M27" s="1"/>
    </row>
    <row r="28" spans="1:13" ht="20.25" customHeight="1" x14ac:dyDescent="0.25">
      <c r="A28" s="1"/>
      <c r="B28" s="3"/>
      <c r="C28" s="3"/>
      <c r="D28" s="3"/>
      <c r="E28" s="3"/>
      <c r="F28" s="3"/>
      <c r="G28" s="5"/>
      <c r="H28" s="3"/>
      <c r="I28" s="3"/>
      <c r="J28" s="3"/>
      <c r="K28" s="3"/>
      <c r="L28" s="3"/>
      <c r="M28" s="1"/>
    </row>
    <row r="29" spans="1:13" ht="20.25" customHeight="1" x14ac:dyDescent="0.25">
      <c r="A29" s="1"/>
      <c r="B29" s="3"/>
      <c r="C29" s="6" t="s">
        <v>20</v>
      </c>
      <c r="D29" s="3"/>
      <c r="E29" s="3"/>
      <c r="F29" s="3"/>
      <c r="G29" s="5"/>
      <c r="H29" s="3"/>
      <c r="I29" s="3"/>
      <c r="J29" s="3"/>
      <c r="K29" s="3"/>
      <c r="L29" s="3"/>
      <c r="M29" s="1"/>
    </row>
    <row r="30" spans="1:13" x14ac:dyDescent="0.25">
      <c r="A30" s="1"/>
      <c r="B30" s="20" t="s">
        <v>12</v>
      </c>
      <c r="C30" s="6">
        <f>INDEX(quantidade!$A$1:$A$100,'planilhaa de lucros'!E30)</f>
        <v>0</v>
      </c>
      <c r="D30" s="8">
        <v>90</v>
      </c>
      <c r="E30" s="3">
        <v>1</v>
      </c>
      <c r="F30" s="3"/>
      <c r="G30" s="8">
        <f t="shared" si="2"/>
        <v>0</v>
      </c>
      <c r="H30" s="3"/>
      <c r="I30" s="3"/>
      <c r="J30" s="3"/>
      <c r="K30" s="3"/>
      <c r="L30" s="3"/>
      <c r="M30" s="1"/>
    </row>
    <row r="31" spans="1:13" x14ac:dyDescent="0.25">
      <c r="A31" s="1"/>
      <c r="B31" s="20"/>
      <c r="C31" s="6">
        <f>INDEX(quantidade!$A$1:$A$100,'planilhaa de lucros'!E31)</f>
        <v>0</v>
      </c>
      <c r="D31" s="8">
        <v>120</v>
      </c>
      <c r="E31" s="3">
        <v>1</v>
      </c>
      <c r="F31" s="3"/>
      <c r="G31" s="8">
        <f t="shared" si="2"/>
        <v>0</v>
      </c>
      <c r="H31" s="3"/>
      <c r="I31" s="3"/>
      <c r="J31" s="3"/>
      <c r="K31" s="3"/>
      <c r="L31" s="3"/>
      <c r="M31" s="1"/>
    </row>
    <row r="32" spans="1:13" x14ac:dyDescent="0.25">
      <c r="A32" s="1"/>
      <c r="B32" s="3"/>
      <c r="C32" s="3"/>
      <c r="D32" s="3"/>
      <c r="E32" s="3"/>
      <c r="F32" s="3"/>
      <c r="G32" s="5"/>
      <c r="H32" s="3"/>
      <c r="I32" s="3"/>
      <c r="J32" s="3"/>
      <c r="K32" s="3"/>
      <c r="L32" s="3"/>
      <c r="M32" s="1"/>
    </row>
    <row r="33" spans="1:13" x14ac:dyDescent="0.25">
      <c r="A33" s="1"/>
      <c r="B33" s="3"/>
      <c r="C33" s="6" t="s">
        <v>20</v>
      </c>
      <c r="D33" s="3"/>
      <c r="E33" s="3"/>
      <c r="F33" s="3"/>
      <c r="G33" s="5"/>
      <c r="H33" s="3"/>
      <c r="I33" s="3"/>
      <c r="J33" s="3"/>
      <c r="K33" s="3"/>
      <c r="L33" s="3"/>
      <c r="M33" s="1"/>
    </row>
    <row r="34" spans="1:13" x14ac:dyDescent="0.25">
      <c r="A34" s="1"/>
      <c r="B34" s="20" t="s">
        <v>8</v>
      </c>
      <c r="C34" s="6">
        <f>INDEX(quantidade!$A$1:$A$100,'planilhaa de lucros'!E34)</f>
        <v>0</v>
      </c>
      <c r="D34" s="8">
        <v>50</v>
      </c>
      <c r="E34" s="3">
        <v>1</v>
      </c>
      <c r="F34" s="3"/>
      <c r="G34" s="8">
        <f t="shared" si="2"/>
        <v>0</v>
      </c>
      <c r="H34" s="3"/>
      <c r="I34" s="3"/>
      <c r="J34" s="3"/>
      <c r="K34" s="3"/>
      <c r="L34" s="3"/>
      <c r="M34" s="1"/>
    </row>
    <row r="35" spans="1:13" x14ac:dyDescent="0.25">
      <c r="A35" s="1"/>
      <c r="B35" s="20"/>
      <c r="C35" s="6">
        <f>INDEX(quantidade!$A$1:$A$100,'planilhaa de lucros'!E35)</f>
        <v>0</v>
      </c>
      <c r="D35" s="8">
        <v>55</v>
      </c>
      <c r="E35" s="3">
        <v>1</v>
      </c>
      <c r="F35" s="3"/>
      <c r="G35" s="8">
        <f t="shared" si="2"/>
        <v>0</v>
      </c>
      <c r="H35" s="3"/>
      <c r="I35" s="3"/>
      <c r="J35" s="3"/>
      <c r="K35" s="3"/>
      <c r="L35" s="3"/>
      <c r="M35" s="1"/>
    </row>
    <row r="36" spans="1:13" x14ac:dyDescent="0.25">
      <c r="A36" s="1"/>
      <c r="B36" s="20"/>
      <c r="C36" s="6">
        <f>INDEX(quantidade!$A$1:$A$100,'planilhaa de lucros'!E36)</f>
        <v>0</v>
      </c>
      <c r="D36" s="8">
        <v>60</v>
      </c>
      <c r="E36" s="3">
        <v>1</v>
      </c>
      <c r="F36" s="3"/>
      <c r="G36" s="8">
        <f t="shared" si="2"/>
        <v>0</v>
      </c>
      <c r="H36" s="3"/>
      <c r="I36" s="3"/>
      <c r="J36" s="3"/>
      <c r="K36" s="3"/>
      <c r="L36" s="3"/>
      <c r="M36" s="1"/>
    </row>
    <row r="37" spans="1:13" x14ac:dyDescent="0.25">
      <c r="A37" s="1"/>
      <c r="B37" s="3"/>
      <c r="C37" s="3"/>
      <c r="D37" s="3"/>
      <c r="E37" s="3"/>
      <c r="F37" s="3"/>
      <c r="G37" s="5"/>
      <c r="H37" s="3"/>
      <c r="I37" s="3"/>
      <c r="J37" s="3"/>
      <c r="K37" s="3"/>
      <c r="L37" s="3"/>
      <c r="M37" s="1"/>
    </row>
    <row r="38" spans="1:13" x14ac:dyDescent="0.25">
      <c r="A38" s="1"/>
      <c r="B38" s="3"/>
      <c r="C38" s="6" t="s">
        <v>20</v>
      </c>
      <c r="D38" s="3"/>
      <c r="E38" s="3"/>
      <c r="F38" s="3"/>
      <c r="G38" s="5"/>
      <c r="H38" s="3"/>
      <c r="I38" s="3"/>
      <c r="J38" s="3"/>
      <c r="K38" s="3"/>
      <c r="L38" s="3"/>
      <c r="M38" s="1"/>
    </row>
    <row r="39" spans="1:13" x14ac:dyDescent="0.25">
      <c r="A39" s="1"/>
      <c r="B39" s="20" t="s">
        <v>21</v>
      </c>
      <c r="C39" s="6">
        <f>INDEX(quantidade!$A$1:$A$100,'planilhaa de lucros'!E39)</f>
        <v>0</v>
      </c>
      <c r="D39" s="8">
        <v>100</v>
      </c>
      <c r="E39" s="3">
        <v>1</v>
      </c>
      <c r="F39" s="3"/>
      <c r="G39" s="8">
        <f t="shared" si="2"/>
        <v>0</v>
      </c>
      <c r="H39" s="3"/>
      <c r="I39" s="3"/>
      <c r="J39" s="3"/>
      <c r="K39" s="3"/>
      <c r="L39" s="3"/>
      <c r="M39" s="1"/>
    </row>
    <row r="40" spans="1:13" x14ac:dyDescent="0.25">
      <c r="A40" s="1"/>
      <c r="B40" s="20"/>
      <c r="C40" s="6">
        <f>INDEX(quantidade!$A$1:$A$100,'planilhaa de lucros'!E40)</f>
        <v>0</v>
      </c>
      <c r="D40" s="8">
        <v>130</v>
      </c>
      <c r="E40" s="3">
        <v>1</v>
      </c>
      <c r="F40" s="3"/>
      <c r="G40" s="8">
        <f t="shared" si="2"/>
        <v>0</v>
      </c>
      <c r="H40" s="3"/>
      <c r="I40" s="3"/>
      <c r="J40" s="3"/>
      <c r="K40" s="3"/>
      <c r="L40" s="3"/>
      <c r="M40" s="1"/>
    </row>
    <row r="41" spans="1:13" x14ac:dyDescent="0.25">
      <c r="A41" s="1"/>
      <c r="B41" s="20"/>
      <c r="C41" s="6">
        <f>INDEX(quantidade!$A$1:$A$100,'planilhaa de lucros'!E41)</f>
        <v>0</v>
      </c>
      <c r="D41" s="8">
        <v>150</v>
      </c>
      <c r="E41" s="3">
        <v>1</v>
      </c>
      <c r="F41" s="3"/>
      <c r="G41" s="8">
        <f t="shared" si="2"/>
        <v>0</v>
      </c>
      <c r="H41" s="3"/>
      <c r="I41" s="3"/>
      <c r="J41" s="3"/>
      <c r="K41" s="11"/>
      <c r="L41" s="3"/>
      <c r="M41" s="1"/>
    </row>
    <row r="42" spans="1:13" x14ac:dyDescent="0.25">
      <c r="A42" s="1"/>
      <c r="B42" s="3"/>
      <c r="C42" s="3"/>
      <c r="D42" s="3"/>
      <c r="E42" s="3"/>
      <c r="F42" s="3"/>
      <c r="G42" s="5"/>
      <c r="H42" s="3"/>
      <c r="I42" s="3"/>
      <c r="J42" s="3"/>
      <c r="K42" s="3"/>
      <c r="L42" s="3"/>
      <c r="M42" s="1"/>
    </row>
    <row r="43" spans="1:13" x14ac:dyDescent="0.25">
      <c r="A43" s="1"/>
      <c r="B43" s="3"/>
      <c r="C43" s="6" t="s">
        <v>20</v>
      </c>
      <c r="D43" s="3"/>
      <c r="E43" s="3"/>
      <c r="F43" s="3"/>
      <c r="G43" s="5"/>
      <c r="H43" s="3"/>
      <c r="I43" s="3"/>
      <c r="J43" s="3"/>
      <c r="K43" s="3"/>
      <c r="L43" s="3"/>
      <c r="M43" s="1"/>
    </row>
    <row r="44" spans="1:13" x14ac:dyDescent="0.25">
      <c r="A44" s="1"/>
      <c r="B44" s="20" t="s">
        <v>16</v>
      </c>
      <c r="C44" s="6">
        <f>INDEX(quantidade!$A$1:$A$100,'planilhaa de lucros'!E44)</f>
        <v>0</v>
      </c>
      <c r="D44" s="8">
        <v>150</v>
      </c>
      <c r="E44" s="3">
        <v>1</v>
      </c>
      <c r="F44" s="3"/>
      <c r="G44" s="8">
        <f>C44*D44</f>
        <v>0</v>
      </c>
      <c r="H44" s="3"/>
      <c r="I44" s="3"/>
      <c r="J44" s="3"/>
      <c r="K44" s="3"/>
      <c r="L44" s="3"/>
      <c r="M44" s="1"/>
    </row>
    <row r="45" spans="1:13" x14ac:dyDescent="0.25">
      <c r="A45" s="1"/>
      <c r="B45" s="20"/>
      <c r="C45" s="6">
        <f>INDEX(quantidade!$A$1:$A$100,'planilhaa de lucros'!E45)</f>
        <v>0</v>
      </c>
      <c r="D45" s="8">
        <v>200</v>
      </c>
      <c r="E45" s="3">
        <v>1</v>
      </c>
      <c r="F45" s="3"/>
      <c r="G45" s="8">
        <f t="shared" si="2"/>
        <v>0</v>
      </c>
      <c r="H45" s="3"/>
      <c r="I45" s="3"/>
      <c r="J45" s="3"/>
      <c r="K45" s="3"/>
      <c r="L45" s="3"/>
      <c r="M45" s="1"/>
    </row>
    <row r="46" spans="1:13" x14ac:dyDescent="0.25">
      <c r="A46" s="1"/>
      <c r="B46" s="20"/>
      <c r="C46" s="6">
        <f>INDEX(quantidade!$A$1:$A$100,'planilhaa de lucros'!E46)</f>
        <v>0</v>
      </c>
      <c r="D46" s="8">
        <v>250</v>
      </c>
      <c r="E46" s="3">
        <v>1</v>
      </c>
      <c r="F46" s="3"/>
      <c r="G46" s="8">
        <f t="shared" si="2"/>
        <v>0</v>
      </c>
      <c r="H46" s="3"/>
      <c r="I46" s="3"/>
      <c r="J46" s="3"/>
      <c r="K46" s="3"/>
      <c r="L46" s="3"/>
      <c r="M46" s="1"/>
    </row>
    <row r="47" spans="1:13" x14ac:dyDescent="0.25">
      <c r="A47" s="1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1"/>
    </row>
    <row r="48" spans="1:13" x14ac:dyDescent="0.25">
      <c r="A48" s="1"/>
      <c r="B48" s="3"/>
      <c r="C48" s="3"/>
      <c r="D48" s="3"/>
      <c r="E48" s="3"/>
      <c r="F48" s="3"/>
      <c r="G48" s="3"/>
      <c r="H48" s="3"/>
      <c r="I48" s="3"/>
      <c r="J48" s="12"/>
      <c r="K48" s="3"/>
      <c r="L48" s="3"/>
      <c r="M48" s="1"/>
    </row>
    <row r="49" spans="1:13" ht="23.25" x14ac:dyDescent="0.35">
      <c r="A49" s="1"/>
      <c r="B49" s="3"/>
      <c r="C49" s="21" t="s">
        <v>18</v>
      </c>
      <c r="D49" s="21"/>
      <c r="E49" s="3"/>
      <c r="F49" s="3"/>
      <c r="G49" s="13">
        <f>G6+G7+G8+G9+G12+G14+G13+G15+G16+G17+G18+G21+G23+G24+G25+G26+G27+G30+G31+G34+G35+G36+G39+G40+G41+G44+G45+G46</f>
        <v>900</v>
      </c>
      <c r="H49" s="3"/>
      <c r="I49" s="9"/>
      <c r="J49" s="3"/>
      <c r="K49" s="3"/>
      <c r="L49" s="3"/>
      <c r="M49" s="1"/>
    </row>
    <row r="50" spans="1:13" x14ac:dyDescent="0.25">
      <c r="A50" s="1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1"/>
    </row>
    <row r="51" spans="1:13" x14ac:dyDescent="0.25">
      <c r="A51" s="1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1"/>
    </row>
    <row r="52" spans="1:13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</sheetData>
  <mergeCells count="8">
    <mergeCell ref="I4:L4"/>
    <mergeCell ref="B12:B18"/>
    <mergeCell ref="B21:B27"/>
    <mergeCell ref="B30:B31"/>
    <mergeCell ref="B44:B46"/>
    <mergeCell ref="B39:B41"/>
    <mergeCell ref="B34:B36"/>
    <mergeCell ref="C49:D4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" r:id="rId3" name="Drop Down 184">
              <controlPr defaultSize="0" autoLine="0" autoPict="0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4" name="Drop Down 185">
              <controlPr defaultSize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3</xdr:col>
                    <xdr:colOff>9525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5" name="Drop Down 186">
              <controlPr defaultSize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3</xdr:col>
                    <xdr:colOff>9525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6" name="Drop Down 278">
              <controlPr defaultSize="0" autoLine="0" autoPict="0">
                <anchor moveWithCells="1">
                  <from>
                    <xdr:col>1</xdr:col>
                    <xdr:colOff>1638300</xdr:colOff>
                    <xdr:row>5</xdr:row>
                    <xdr:rowOff>9525</xdr:rowOff>
                  </from>
                  <to>
                    <xdr:col>2</xdr:col>
                    <xdr:colOff>1857375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7" name="Drop Down 288">
              <controlPr defaultSize="0" autoLine="0" autoPict="0">
                <anchor moveWithCells="1">
                  <from>
                    <xdr:col>2</xdr:col>
                    <xdr:colOff>9525</xdr:colOff>
                    <xdr:row>13</xdr:row>
                    <xdr:rowOff>0</xdr:rowOff>
                  </from>
                  <to>
                    <xdr:col>2</xdr:col>
                    <xdr:colOff>1847850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8" name="Drop Down 289">
              <controlPr defaultSize="0" autoLine="0" autoPict="0">
                <anchor moveWithCells="1">
                  <from>
                    <xdr:col>2</xdr:col>
                    <xdr:colOff>9525</xdr:colOff>
                    <xdr:row>13</xdr:row>
                    <xdr:rowOff>238125</xdr:rowOff>
                  </from>
                  <to>
                    <xdr:col>2</xdr:col>
                    <xdr:colOff>1847850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9" name="Drop Down 290">
              <controlPr defaultSize="0" autoLine="0" autoPict="0">
                <anchor moveWithCells="1">
                  <from>
                    <xdr:col>2</xdr:col>
                    <xdr:colOff>9525</xdr:colOff>
                    <xdr:row>14</xdr:row>
                    <xdr:rowOff>238125</xdr:rowOff>
                  </from>
                  <to>
                    <xdr:col>2</xdr:col>
                    <xdr:colOff>1857375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10" name="Drop Down 291">
              <controlPr defaultSize="0" autoLine="0" autoPict="0">
                <anchor moveWithCells="1">
                  <from>
                    <xdr:col>2</xdr:col>
                    <xdr:colOff>9525</xdr:colOff>
                    <xdr:row>15</xdr:row>
                    <xdr:rowOff>247650</xdr:rowOff>
                  </from>
                  <to>
                    <xdr:col>2</xdr:col>
                    <xdr:colOff>1847850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11" name="Drop Down 297">
              <controlPr defaultSize="0" autoLine="0" autoPict="0">
                <anchor moveWithCells="1">
                  <from>
                    <xdr:col>2</xdr:col>
                    <xdr:colOff>9525</xdr:colOff>
                    <xdr:row>23</xdr:row>
                    <xdr:rowOff>238125</xdr:rowOff>
                  </from>
                  <to>
                    <xdr:col>2</xdr:col>
                    <xdr:colOff>1857375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12" name="Drop Down 298">
              <controlPr defaultSize="0" autoLine="0" autoPict="0">
                <anchor moveWithCells="1">
                  <from>
                    <xdr:col>2</xdr:col>
                    <xdr:colOff>9525</xdr:colOff>
                    <xdr:row>24</xdr:row>
                    <xdr:rowOff>247650</xdr:rowOff>
                  </from>
                  <to>
                    <xdr:col>2</xdr:col>
                    <xdr:colOff>1847850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13" name="Drop Down 299">
              <controlPr defaultSize="0" autoLine="0" autoPict="0">
                <anchor moveWithCells="1">
                  <from>
                    <xdr:col>1</xdr:col>
                    <xdr:colOff>1638300</xdr:colOff>
                    <xdr:row>25</xdr:row>
                    <xdr:rowOff>238125</xdr:rowOff>
                  </from>
                  <to>
                    <xdr:col>3</xdr:col>
                    <xdr:colOff>9525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14" name="Drop Down 286">
              <controlPr defaultSize="0" autoLine="0" autoPict="0">
                <anchor moveWithCells="1">
                  <from>
                    <xdr:col>2</xdr:col>
                    <xdr:colOff>0</xdr:colOff>
                    <xdr:row>10</xdr:row>
                    <xdr:rowOff>247650</xdr:rowOff>
                  </from>
                  <to>
                    <xdr:col>3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15" name="Drop Down 287">
              <controlPr defaultSize="0" autoLine="0" autoPict="0">
                <anchor moveWithCells="1">
                  <from>
                    <xdr:col>2</xdr:col>
                    <xdr:colOff>9525</xdr:colOff>
                    <xdr:row>11</xdr:row>
                    <xdr:rowOff>247650</xdr:rowOff>
                  </from>
                  <to>
                    <xdr:col>3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16" name="Drop Down 292">
              <controlPr defaultSize="0" autoLine="0" autoPict="0">
                <anchor moveWithCells="1">
                  <from>
                    <xdr:col>1</xdr:col>
                    <xdr:colOff>1638300</xdr:colOff>
                    <xdr:row>16</xdr:row>
                    <xdr:rowOff>238125</xdr:rowOff>
                  </from>
                  <to>
                    <xdr:col>3</xdr:col>
                    <xdr:colOff>9525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17" name="Drop Down 303">
              <controlPr defaultSize="0" autoLine="0" autoPict="0">
                <anchor moveWithCells="1">
                  <from>
                    <xdr:col>1</xdr:col>
                    <xdr:colOff>1638300</xdr:colOff>
                    <xdr:row>25</xdr:row>
                    <xdr:rowOff>238125</xdr:rowOff>
                  </from>
                  <to>
                    <xdr:col>3</xdr:col>
                    <xdr:colOff>9525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18" name="Drop Down 305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0</xdr:rowOff>
                  </from>
                  <to>
                    <xdr:col>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19" name="Drop Down 306">
              <controlPr defaultSize="0" autoLine="0" autoPict="0">
                <anchor moveWithCells="1">
                  <from>
                    <xdr:col>2</xdr:col>
                    <xdr:colOff>0</xdr:colOff>
                    <xdr:row>28</xdr:row>
                    <xdr:rowOff>247650</xdr:rowOff>
                  </from>
                  <to>
                    <xdr:col>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0" name="Drop Down 293">
              <controlPr defaultSize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1" name="Drop Down 294">
              <controlPr defaultSize="0" autoLine="0" autoPict="0">
                <anchor moveWithCells="1">
                  <from>
                    <xdr:col>2</xdr:col>
                    <xdr:colOff>9525</xdr:colOff>
                    <xdr:row>20</xdr:row>
                    <xdr:rowOff>247650</xdr:rowOff>
                  </from>
                  <to>
                    <xdr:col>3</xdr:col>
                    <xdr:colOff>9525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" name="Drop Down 295">
              <controlPr defaultSize="0" autoLine="0" autoPict="0">
                <anchor moveWithCells="1">
                  <from>
                    <xdr:col>2</xdr:col>
                    <xdr:colOff>9525</xdr:colOff>
                    <xdr:row>22</xdr:row>
                    <xdr:rowOff>0</xdr:rowOff>
                  </from>
                  <to>
                    <xdr:col>2</xdr:col>
                    <xdr:colOff>1847850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3" name="Drop Down 296">
              <controlPr defaultSize="0" autoLine="0" autoPict="0">
                <anchor moveWithCells="1">
                  <from>
                    <xdr:col>2</xdr:col>
                    <xdr:colOff>9525</xdr:colOff>
                    <xdr:row>22</xdr:row>
                    <xdr:rowOff>238125</xdr:rowOff>
                  </from>
                  <to>
                    <xdr:col>2</xdr:col>
                    <xdr:colOff>1847850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4" name="Drop Down 301">
              <controlPr defaultSize="0" autoLine="0" autoPict="0">
                <anchor moveWithCells="1">
                  <from>
                    <xdr:col>2</xdr:col>
                    <xdr:colOff>0</xdr:colOff>
                    <xdr:row>19</xdr:row>
                    <xdr:rowOff>247650</xdr:rowOff>
                  </from>
                  <to>
                    <xdr:col>3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5" name="Drop Down 302">
              <controlPr defaultSize="0" autoLine="0" autoPict="0">
                <anchor moveWithCells="1">
                  <from>
                    <xdr:col>2</xdr:col>
                    <xdr:colOff>9525</xdr:colOff>
                    <xdr:row>20</xdr:row>
                    <xdr:rowOff>247650</xdr:rowOff>
                  </from>
                  <to>
                    <xdr:col>3</xdr:col>
                    <xdr:colOff>9525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6" name="Drop Down 314">
              <controlPr defaultSize="0" autoLine="0" autoPict="0">
                <anchor moveWithCells="1">
                  <from>
                    <xdr:col>1</xdr:col>
                    <xdr:colOff>1628775</xdr:colOff>
                    <xdr:row>33</xdr:row>
                    <xdr:rowOff>0</xdr:rowOff>
                  </from>
                  <to>
                    <xdr:col>3</xdr:col>
                    <xdr:colOff>9525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7" name="Drop Down 315">
              <controlPr defaultSize="0" autoLine="0" autoPict="0">
                <anchor moveWithCells="1">
                  <from>
                    <xdr:col>1</xdr:col>
                    <xdr:colOff>1628775</xdr:colOff>
                    <xdr:row>33</xdr:row>
                    <xdr:rowOff>190500</xdr:rowOff>
                  </from>
                  <to>
                    <xdr:col>3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8" name="Drop Down 316">
              <controlPr defaultSize="0" autoLine="0" autoPict="0">
                <anchor moveWithCells="1">
                  <from>
                    <xdr:col>1</xdr:col>
                    <xdr:colOff>1628775</xdr:colOff>
                    <xdr:row>35</xdr:row>
                    <xdr:rowOff>9525</xdr:rowOff>
                  </from>
                  <to>
                    <xdr:col>3</xdr:col>
                    <xdr:colOff>9525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9" name="Drop Down 317">
              <controlPr defaultSize="0" autoLine="0" autoPict="0">
                <anchor moveWithCells="1">
                  <from>
                    <xdr:col>1</xdr:col>
                    <xdr:colOff>1628775</xdr:colOff>
                    <xdr:row>38</xdr:row>
                    <xdr:rowOff>0</xdr:rowOff>
                  </from>
                  <to>
                    <xdr:col>3</xdr:col>
                    <xdr:colOff>9525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30" name="Drop Down 318">
              <controlPr defaultSize="0" autoLine="0" autoPict="0">
                <anchor moveWithCells="1">
                  <from>
                    <xdr:col>1</xdr:col>
                    <xdr:colOff>1628775</xdr:colOff>
                    <xdr:row>38</xdr:row>
                    <xdr:rowOff>190500</xdr:rowOff>
                  </from>
                  <to>
                    <xdr:col>3</xdr:col>
                    <xdr:colOff>9525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31" name="Drop Down 319">
              <controlPr defaultSize="0" autoLine="0" autoPict="0">
                <anchor moveWithCells="1">
                  <from>
                    <xdr:col>1</xdr:col>
                    <xdr:colOff>1628775</xdr:colOff>
                    <xdr:row>40</xdr:row>
                    <xdr:rowOff>9525</xdr:rowOff>
                  </from>
                  <to>
                    <xdr:col>3</xdr:col>
                    <xdr:colOff>9525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32" name="Drop Down 320">
              <controlPr defaultSize="0" autoLine="0" autoPict="0">
                <anchor moveWithCells="1">
                  <from>
                    <xdr:col>1</xdr:col>
                    <xdr:colOff>1628775</xdr:colOff>
                    <xdr:row>43</xdr:row>
                    <xdr:rowOff>0</xdr:rowOff>
                  </from>
                  <to>
                    <xdr:col>3</xdr:col>
                    <xdr:colOff>9525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33" name="Drop Down 321">
              <controlPr defaultSize="0" autoLine="0" autoPict="0">
                <anchor moveWithCells="1">
                  <from>
                    <xdr:col>1</xdr:col>
                    <xdr:colOff>1628775</xdr:colOff>
                    <xdr:row>43</xdr:row>
                    <xdr:rowOff>190500</xdr:rowOff>
                  </from>
                  <to>
                    <xdr:col>3</xdr:col>
                    <xdr:colOff>9525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34" name="Drop Down 322">
              <controlPr defaultSize="0" autoLine="0" autoPict="0">
                <anchor moveWithCells="1">
                  <from>
                    <xdr:col>1</xdr:col>
                    <xdr:colOff>1628775</xdr:colOff>
                    <xdr:row>45</xdr:row>
                    <xdr:rowOff>9525</xdr:rowOff>
                  </from>
                  <to>
                    <xdr:col>3</xdr:col>
                    <xdr:colOff>9525</xdr:colOff>
                    <xdr:row>46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ED093-92C7-43DB-B44B-D8D4EBF092E8}">
  <sheetPr codeName="Planilha2"/>
  <dimension ref="A1:N100"/>
  <sheetViews>
    <sheetView workbookViewId="0">
      <selection activeCell="J8" sqref="J8:J10"/>
    </sheetView>
  </sheetViews>
  <sheetFormatPr defaultRowHeight="15" x14ac:dyDescent="0.25"/>
  <cols>
    <col min="3" max="3" width="26.42578125" bestFit="1" customWidth="1"/>
    <col min="5" max="5" width="9.5703125" bestFit="1" customWidth="1"/>
    <col min="7" max="7" width="10.5703125" bestFit="1" customWidth="1"/>
    <col min="10" max="10" width="10.5703125" bestFit="1" customWidth="1"/>
    <col min="12" max="12" width="10.5703125" bestFit="1" customWidth="1"/>
    <col min="14" max="14" width="11.7109375" customWidth="1"/>
  </cols>
  <sheetData>
    <row r="1" spans="1:12" x14ac:dyDescent="0.25">
      <c r="A1">
        <v>0</v>
      </c>
    </row>
    <row r="2" spans="1:12" x14ac:dyDescent="0.25">
      <c r="A2">
        <v>1</v>
      </c>
    </row>
    <row r="3" spans="1:12" x14ac:dyDescent="0.25">
      <c r="A3">
        <v>2</v>
      </c>
    </row>
    <row r="4" spans="1:12" x14ac:dyDescent="0.25">
      <c r="A4">
        <v>3</v>
      </c>
    </row>
    <row r="5" spans="1:12" x14ac:dyDescent="0.25">
      <c r="A5">
        <v>4</v>
      </c>
    </row>
    <row r="6" spans="1:12" x14ac:dyDescent="0.25">
      <c r="A6">
        <v>5</v>
      </c>
    </row>
    <row r="7" spans="1:12" x14ac:dyDescent="0.25">
      <c r="A7">
        <v>6</v>
      </c>
      <c r="C7" t="s">
        <v>13</v>
      </c>
      <c r="E7" t="s">
        <v>14</v>
      </c>
      <c r="G7" t="s">
        <v>15</v>
      </c>
      <c r="J7" t="s">
        <v>16</v>
      </c>
      <c r="L7" t="s">
        <v>17</v>
      </c>
    </row>
    <row r="8" spans="1:12" x14ac:dyDescent="0.25">
      <c r="A8">
        <v>7</v>
      </c>
      <c r="C8" s="2">
        <v>200</v>
      </c>
      <c r="D8" s="2"/>
      <c r="E8" s="2">
        <v>50</v>
      </c>
      <c r="F8" s="2"/>
      <c r="G8" s="2">
        <v>100</v>
      </c>
      <c r="H8" s="2"/>
      <c r="I8" s="2"/>
      <c r="J8" s="2">
        <v>150</v>
      </c>
      <c r="K8" s="2"/>
      <c r="L8" s="2">
        <v>90</v>
      </c>
    </row>
    <row r="9" spans="1:12" x14ac:dyDescent="0.25">
      <c r="A9">
        <v>8</v>
      </c>
      <c r="C9" s="2">
        <v>250</v>
      </c>
      <c r="D9" s="2"/>
      <c r="E9" s="2">
        <v>55</v>
      </c>
      <c r="F9" s="2"/>
      <c r="G9" s="2">
        <v>130</v>
      </c>
      <c r="H9" s="2"/>
      <c r="I9" s="2"/>
      <c r="J9" s="2">
        <v>200</v>
      </c>
      <c r="K9" s="2"/>
      <c r="L9" s="2">
        <v>120</v>
      </c>
    </row>
    <row r="10" spans="1:12" x14ac:dyDescent="0.25">
      <c r="A10">
        <v>9</v>
      </c>
      <c r="C10" s="2">
        <v>300</v>
      </c>
      <c r="D10" s="2"/>
      <c r="E10" s="2">
        <v>60</v>
      </c>
      <c r="F10" s="2"/>
      <c r="G10" s="2">
        <v>150</v>
      </c>
      <c r="H10" s="2"/>
      <c r="I10" s="2"/>
      <c r="J10" s="2">
        <v>250</v>
      </c>
      <c r="K10" s="2"/>
      <c r="L10" s="2"/>
    </row>
    <row r="11" spans="1:12" x14ac:dyDescent="0.25">
      <c r="A11">
        <v>10</v>
      </c>
      <c r="C11" s="2">
        <v>350</v>
      </c>
      <c r="D11" s="2"/>
      <c r="E11" s="2"/>
      <c r="F11" s="2"/>
      <c r="G11" s="2"/>
      <c r="H11" s="2"/>
      <c r="I11" s="2"/>
      <c r="J11" s="2"/>
      <c r="K11" s="2"/>
    </row>
    <row r="12" spans="1:12" x14ac:dyDescent="0.25">
      <c r="A12">
        <v>11</v>
      </c>
      <c r="C12" s="2">
        <v>400</v>
      </c>
    </row>
    <row r="13" spans="1:12" x14ac:dyDescent="0.25">
      <c r="A13">
        <v>12</v>
      </c>
      <c r="C13" s="2">
        <v>450</v>
      </c>
    </row>
    <row r="14" spans="1:12" x14ac:dyDescent="0.25">
      <c r="A14">
        <v>13</v>
      </c>
      <c r="C14" s="2">
        <v>500</v>
      </c>
    </row>
    <row r="15" spans="1:12" x14ac:dyDescent="0.25">
      <c r="A15">
        <v>14</v>
      </c>
    </row>
    <row r="16" spans="1:12" x14ac:dyDescent="0.25">
      <c r="A16">
        <v>15</v>
      </c>
    </row>
    <row r="17" spans="1:14" x14ac:dyDescent="0.25">
      <c r="A17">
        <v>16</v>
      </c>
    </row>
    <row r="18" spans="1:14" x14ac:dyDescent="0.25">
      <c r="A18">
        <v>17</v>
      </c>
      <c r="N18" s="2">
        <v>200</v>
      </c>
    </row>
    <row r="19" spans="1:14" x14ac:dyDescent="0.25">
      <c r="A19">
        <v>18</v>
      </c>
      <c r="N19" s="2">
        <v>250</v>
      </c>
    </row>
    <row r="20" spans="1:14" x14ac:dyDescent="0.25">
      <c r="A20">
        <v>19</v>
      </c>
      <c r="N20" s="2">
        <v>300</v>
      </c>
    </row>
    <row r="21" spans="1:14" x14ac:dyDescent="0.25">
      <c r="A21">
        <v>20</v>
      </c>
      <c r="N21" s="2">
        <v>350</v>
      </c>
    </row>
    <row r="22" spans="1:14" x14ac:dyDescent="0.25">
      <c r="A22">
        <v>21</v>
      </c>
      <c r="N22" s="2">
        <v>400</v>
      </c>
    </row>
    <row r="23" spans="1:14" x14ac:dyDescent="0.25">
      <c r="A23">
        <v>22</v>
      </c>
      <c r="N23" s="2">
        <v>450</v>
      </c>
    </row>
    <row r="24" spans="1:14" x14ac:dyDescent="0.25">
      <c r="A24">
        <v>23</v>
      </c>
      <c r="N24" s="2">
        <v>500</v>
      </c>
    </row>
    <row r="25" spans="1:14" x14ac:dyDescent="0.25">
      <c r="A25">
        <v>24</v>
      </c>
    </row>
    <row r="26" spans="1:14" x14ac:dyDescent="0.25">
      <c r="A26">
        <v>25</v>
      </c>
    </row>
    <row r="27" spans="1:14" x14ac:dyDescent="0.25">
      <c r="A27">
        <v>26</v>
      </c>
    </row>
    <row r="28" spans="1:14" x14ac:dyDescent="0.25">
      <c r="A28">
        <v>27</v>
      </c>
    </row>
    <row r="29" spans="1:14" x14ac:dyDescent="0.25">
      <c r="A29">
        <v>28</v>
      </c>
    </row>
    <row r="30" spans="1:14" x14ac:dyDescent="0.25">
      <c r="A30">
        <v>29</v>
      </c>
    </row>
    <row r="31" spans="1:14" x14ac:dyDescent="0.25">
      <c r="A31">
        <v>30</v>
      </c>
    </row>
    <row r="32" spans="1:14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46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  <row r="51" spans="1:1" x14ac:dyDescent="0.25">
      <c r="A51">
        <v>50</v>
      </c>
    </row>
    <row r="52" spans="1:1" x14ac:dyDescent="0.25">
      <c r="A52">
        <v>51</v>
      </c>
    </row>
    <row r="53" spans="1:1" x14ac:dyDescent="0.25">
      <c r="A53">
        <v>52</v>
      </c>
    </row>
    <row r="54" spans="1:1" x14ac:dyDescent="0.25">
      <c r="A54">
        <v>53</v>
      </c>
    </row>
    <row r="55" spans="1:1" x14ac:dyDescent="0.25">
      <c r="A55">
        <v>54</v>
      </c>
    </row>
    <row r="56" spans="1:1" x14ac:dyDescent="0.25">
      <c r="A56">
        <v>55</v>
      </c>
    </row>
    <row r="57" spans="1:1" x14ac:dyDescent="0.25">
      <c r="A57">
        <v>56</v>
      </c>
    </row>
    <row r="58" spans="1:1" x14ac:dyDescent="0.25">
      <c r="A58">
        <v>57</v>
      </c>
    </row>
    <row r="59" spans="1:1" x14ac:dyDescent="0.25">
      <c r="A59">
        <v>58</v>
      </c>
    </row>
    <row r="60" spans="1:1" x14ac:dyDescent="0.25">
      <c r="A60">
        <v>59</v>
      </c>
    </row>
    <row r="61" spans="1:1" x14ac:dyDescent="0.25">
      <c r="A61">
        <v>60</v>
      </c>
    </row>
    <row r="62" spans="1:1" x14ac:dyDescent="0.25">
      <c r="A62">
        <v>61</v>
      </c>
    </row>
    <row r="63" spans="1:1" x14ac:dyDescent="0.25">
      <c r="A63">
        <v>62</v>
      </c>
    </row>
    <row r="64" spans="1:1" x14ac:dyDescent="0.25">
      <c r="A64">
        <v>63</v>
      </c>
    </row>
    <row r="65" spans="1:1" x14ac:dyDescent="0.25">
      <c r="A65">
        <v>64</v>
      </c>
    </row>
    <row r="66" spans="1:1" x14ac:dyDescent="0.25">
      <c r="A66">
        <v>65</v>
      </c>
    </row>
    <row r="67" spans="1:1" x14ac:dyDescent="0.25">
      <c r="A67">
        <v>66</v>
      </c>
    </row>
    <row r="68" spans="1:1" x14ac:dyDescent="0.25">
      <c r="A68">
        <v>67</v>
      </c>
    </row>
    <row r="69" spans="1:1" x14ac:dyDescent="0.25">
      <c r="A69">
        <v>68</v>
      </c>
    </row>
    <row r="70" spans="1:1" x14ac:dyDescent="0.25">
      <c r="A70">
        <v>69</v>
      </c>
    </row>
    <row r="71" spans="1:1" x14ac:dyDescent="0.25">
      <c r="A71">
        <v>70</v>
      </c>
    </row>
    <row r="72" spans="1:1" x14ac:dyDescent="0.25">
      <c r="A72">
        <v>71</v>
      </c>
    </row>
    <row r="73" spans="1:1" x14ac:dyDescent="0.25">
      <c r="A73">
        <v>72</v>
      </c>
    </row>
    <row r="74" spans="1:1" x14ac:dyDescent="0.25">
      <c r="A74">
        <v>73</v>
      </c>
    </row>
    <row r="75" spans="1:1" x14ac:dyDescent="0.25">
      <c r="A75">
        <v>74</v>
      </c>
    </row>
    <row r="76" spans="1:1" x14ac:dyDescent="0.25">
      <c r="A76">
        <v>75</v>
      </c>
    </row>
    <row r="77" spans="1:1" x14ac:dyDescent="0.25">
      <c r="A77">
        <v>76</v>
      </c>
    </row>
    <row r="78" spans="1:1" x14ac:dyDescent="0.25">
      <c r="A78">
        <v>77</v>
      </c>
    </row>
    <row r="79" spans="1:1" x14ac:dyDescent="0.25">
      <c r="A79">
        <v>78</v>
      </c>
    </row>
    <row r="80" spans="1:1" x14ac:dyDescent="0.25">
      <c r="A80">
        <v>79</v>
      </c>
    </row>
    <row r="81" spans="1:1" x14ac:dyDescent="0.25">
      <c r="A81">
        <v>80</v>
      </c>
    </row>
    <row r="82" spans="1:1" x14ac:dyDescent="0.25">
      <c r="A82">
        <v>81</v>
      </c>
    </row>
    <row r="83" spans="1:1" x14ac:dyDescent="0.25">
      <c r="A83">
        <v>82</v>
      </c>
    </row>
    <row r="84" spans="1:1" x14ac:dyDescent="0.25">
      <c r="A84">
        <v>83</v>
      </c>
    </row>
    <row r="85" spans="1:1" x14ac:dyDescent="0.25">
      <c r="A85">
        <v>84</v>
      </c>
    </row>
    <row r="86" spans="1:1" x14ac:dyDescent="0.25">
      <c r="A86">
        <v>85</v>
      </c>
    </row>
    <row r="87" spans="1:1" x14ac:dyDescent="0.25">
      <c r="A87">
        <v>86</v>
      </c>
    </row>
    <row r="88" spans="1:1" x14ac:dyDescent="0.25">
      <c r="A88">
        <v>87</v>
      </c>
    </row>
    <row r="89" spans="1:1" x14ac:dyDescent="0.25">
      <c r="A89">
        <v>88</v>
      </c>
    </row>
    <row r="90" spans="1:1" x14ac:dyDescent="0.25">
      <c r="A90">
        <v>89</v>
      </c>
    </row>
    <row r="91" spans="1:1" x14ac:dyDescent="0.25">
      <c r="A91">
        <v>90</v>
      </c>
    </row>
    <row r="92" spans="1:1" x14ac:dyDescent="0.25">
      <c r="A92">
        <v>91</v>
      </c>
    </row>
    <row r="93" spans="1:1" x14ac:dyDescent="0.25">
      <c r="A93">
        <v>92</v>
      </c>
    </row>
    <row r="94" spans="1:1" x14ac:dyDescent="0.25">
      <c r="A94">
        <v>93</v>
      </c>
    </row>
    <row r="95" spans="1:1" x14ac:dyDescent="0.25">
      <c r="A95">
        <v>94</v>
      </c>
    </row>
    <row r="96" spans="1:1" x14ac:dyDescent="0.25">
      <c r="A96">
        <v>95</v>
      </c>
    </row>
    <row r="97" spans="1:1" x14ac:dyDescent="0.25">
      <c r="A97">
        <v>96</v>
      </c>
    </row>
    <row r="98" spans="1:1" x14ac:dyDescent="0.25">
      <c r="A98">
        <v>97</v>
      </c>
    </row>
    <row r="99" spans="1:1" x14ac:dyDescent="0.25">
      <c r="A99">
        <v>98</v>
      </c>
    </row>
    <row r="100" spans="1:1" x14ac:dyDescent="0.25">
      <c r="A100">
        <v>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planilhaa de lucros</vt:lpstr>
      <vt:lpstr>quantidade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Priscila Santos</dc:creator>
  <cp:lastModifiedBy>Priscila Santos</cp:lastModifiedBy>
  <dcterms:created xsi:type="dcterms:W3CDTF">2024-04-15T11:06:14Z</dcterms:created>
  <dcterms:modified xsi:type="dcterms:W3CDTF">2024-04-16T12:59:21Z</dcterms:modified>
</cp:coreProperties>
</file>